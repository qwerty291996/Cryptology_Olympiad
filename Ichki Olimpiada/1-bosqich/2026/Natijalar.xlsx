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Workbook________"/>
  <mc:AlternateContent xmlns:mc="http://schemas.openxmlformats.org/markup-compatibility/2006">
    <mc:Choice Requires="x15">
      <x15ac:absPath xmlns:x15ac="http://schemas.microsoft.com/office/spreadsheetml/2010/11/ac" url="D:\Kriptologiya olimpiada\Ichki Olimpiada\1-bosqich\2026\"/>
    </mc:Choice>
  </mc:AlternateContent>
  <xr:revisionPtr revIDLastSave="0" documentId="13_ncr:1_{F2B4AD79-2107-4416-9B4E-AD89CE0CDAE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  <sheet name="Reyting" sheetId="2" r:id="rId2"/>
  </sheets>
  <definedNames>
    <definedName name="_xlnm.Print_Area" localSheetId="0">Лист1!$A$1:$O$11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" l="1"/>
  <c r="N2" i="2"/>
  <c r="M2" i="2"/>
  <c r="L2" i="2"/>
  <c r="K2" i="2"/>
  <c r="J2" i="2"/>
  <c r="I2" i="2"/>
  <c r="H2" i="2"/>
  <c r="G2" i="2"/>
  <c r="F2" i="2"/>
  <c r="E2" i="2"/>
  <c r="D2" i="2"/>
  <c r="C2" i="2"/>
  <c r="O11" i="1"/>
  <c r="P11" i="1" s="1"/>
  <c r="O10" i="1"/>
  <c r="P10" i="1" s="1"/>
  <c r="P9" i="1"/>
  <c r="O9" i="1"/>
  <c r="P8" i="1"/>
  <c r="O8" i="1"/>
  <c r="O7" i="1"/>
  <c r="P7" i="1" s="1"/>
  <c r="O6" i="1"/>
  <c r="P6" i="1" s="1"/>
  <c r="O5" i="1"/>
  <c r="P5" i="1" s="1"/>
  <c r="O4" i="1"/>
  <c r="P4" i="1" s="1"/>
  <c r="D11" i="2" s="1"/>
  <c r="P3" i="1"/>
  <c r="O11" i="2" s="1"/>
  <c r="O3" i="1"/>
  <c r="G11" i="2" l="1"/>
  <c r="H3" i="2"/>
  <c r="H9" i="2"/>
  <c r="K8" i="2"/>
  <c r="J9" i="2"/>
  <c r="H11" i="2"/>
  <c r="B6" i="2"/>
  <c r="L7" i="2"/>
  <c r="G4" i="2"/>
  <c r="O6" i="2"/>
  <c r="E11" i="2"/>
  <c r="F5" i="2"/>
  <c r="L8" i="2"/>
  <c r="I4" i="2"/>
  <c r="E6" i="2"/>
  <c r="C7" i="2"/>
  <c r="M8" i="2"/>
  <c r="K9" i="2"/>
  <c r="J4" i="2"/>
  <c r="H5" i="2"/>
  <c r="F6" i="2"/>
  <c r="D7" i="2"/>
  <c r="B8" i="2"/>
  <c r="N8" i="2"/>
  <c r="L9" i="2"/>
  <c r="J10" i="2"/>
  <c r="M3" i="2"/>
  <c r="K4" i="2"/>
  <c r="I5" i="2"/>
  <c r="G6" i="2"/>
  <c r="E7" i="2"/>
  <c r="C8" i="2"/>
  <c r="O8" i="2"/>
  <c r="M9" i="2"/>
  <c r="K10" i="2"/>
  <c r="I11" i="2"/>
  <c r="D5" i="2"/>
  <c r="J8" i="2"/>
  <c r="I3" i="2"/>
  <c r="C6" i="2"/>
  <c r="G10" i="2"/>
  <c r="H4" i="2"/>
  <c r="N7" i="2"/>
  <c r="G5" i="2"/>
  <c r="O7" i="2"/>
  <c r="I10" i="2"/>
  <c r="L3" i="2"/>
  <c r="B3" i="2"/>
  <c r="N3" i="2"/>
  <c r="L4" i="2"/>
  <c r="J5" i="2"/>
  <c r="H6" i="2"/>
  <c r="F7" i="2"/>
  <c r="D8" i="2"/>
  <c r="B9" i="2"/>
  <c r="N9" i="2"/>
  <c r="L10" i="2"/>
  <c r="J11" i="2"/>
  <c r="F4" i="2"/>
  <c r="F10" i="2"/>
  <c r="I9" i="2"/>
  <c r="J3" i="2"/>
  <c r="D6" i="2"/>
  <c r="F11" i="2"/>
  <c r="C3" i="2"/>
  <c r="M4" i="2"/>
  <c r="K5" i="2"/>
  <c r="I6" i="2"/>
  <c r="E8" i="2"/>
  <c r="C9" i="2"/>
  <c r="O9" i="2"/>
  <c r="M10" i="2"/>
  <c r="K11" i="2"/>
  <c r="D3" i="2"/>
  <c r="B4" i="2"/>
  <c r="N4" i="2"/>
  <c r="L5" i="2"/>
  <c r="J6" i="2"/>
  <c r="H7" i="2"/>
  <c r="F8" i="2"/>
  <c r="D9" i="2"/>
  <c r="B10" i="2"/>
  <c r="N10" i="2"/>
  <c r="L11" i="2"/>
  <c r="N6" i="2"/>
  <c r="E5" i="2"/>
  <c r="M7" i="2"/>
  <c r="B7" i="2"/>
  <c r="H10" i="2"/>
  <c r="K3" i="2"/>
  <c r="O3" i="2"/>
  <c r="G7" i="2"/>
  <c r="E3" i="2"/>
  <c r="C4" i="2"/>
  <c r="O4" i="2"/>
  <c r="M5" i="2"/>
  <c r="K6" i="2"/>
  <c r="I7" i="2"/>
  <c r="G8" i="2"/>
  <c r="E9" i="2"/>
  <c r="C10" i="2"/>
  <c r="O10" i="2"/>
  <c r="M11" i="2"/>
  <c r="F3" i="2"/>
  <c r="D4" i="2"/>
  <c r="B5" i="2"/>
  <c r="N5" i="2"/>
  <c r="L6" i="2"/>
  <c r="J7" i="2"/>
  <c r="H8" i="2"/>
  <c r="F9" i="2"/>
  <c r="D10" i="2"/>
  <c r="B11" i="2"/>
  <c r="N11" i="2"/>
  <c r="G3" i="2"/>
  <c r="E4" i="2"/>
  <c r="C5" i="2"/>
  <c r="O5" i="2"/>
  <c r="M6" i="2"/>
  <c r="K7" i="2"/>
  <c r="I8" i="2"/>
  <c r="G9" i="2"/>
  <c r="E10" i="2"/>
  <c r="C11" i="2"/>
</calcChain>
</file>

<file path=xl/sharedStrings.xml><?xml version="1.0" encoding="utf-8"?>
<sst xmlns="http://schemas.openxmlformats.org/spreadsheetml/2006/main" count="13" uniqueCount="13">
  <si>
    <t>1-nazariy</t>
  </si>
  <si>
    <t>2-nazariy</t>
  </si>
  <si>
    <t>Umumiy ball</t>
  </si>
  <si>
    <t>O'rin (yordamchi)</t>
  </si>
  <si>
    <t>Keldiyev Fayozbek</t>
  </si>
  <si>
    <t>Azizov Diyorbek</t>
  </si>
  <si>
    <t>Joldasbaev Shaxrux</t>
  </si>
  <si>
    <t>Eshbaev Miyirbek</t>
  </si>
  <si>
    <t>Pardayev Maxsudbek</t>
  </si>
  <si>
    <t>Olimboyev Mirjalol</t>
  </si>
  <si>
    <t>Bo'riyev Mirzoxid</t>
  </si>
  <si>
    <t>Ismatov Dilshodbek</t>
  </si>
  <si>
    <t>Bo'riqulov Botir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</si>
</sst>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6"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1">
    <pageSetUpPr fitToPage="1"/>
  </sheetPr>
  <dimension ref="A2:P11"/>
  <sheetViews>
    <sheetView tabSelected="1" zoomScaleNormal="100" workbookViewId="0">
      <selection activeCell="C9" sqref="C9"/>
    </sheetView>
  </sheetViews>
  <sheetFormatPr defaultRowHeight="15" x14ac:dyDescent="0.25"/>
  <cols>
    <col min="1" max="1" width="9.28515625" customWidth="1"/>
    <col min="2" max="2" width="24.7109375" bestFit="1" customWidth="1"/>
    <col min="3" max="14" width="13" customWidth="1"/>
    <col min="15" max="15" width="18.5703125" customWidth="1"/>
    <col min="16" max="16" width="17.85546875" customWidth="1"/>
  </cols>
  <sheetData>
    <row r="2" spans="1:16" ht="35.1" customHeight="1" x14ac:dyDescent="0.25">
      <c r="A2" s="5"/>
      <c r="B2" s="5"/>
      <c r="C2" s="6" t="s">
        <v>0</v>
      </c>
      <c r="D2" s="6" t="s">
        <v>1</v>
      </c>
      <c r="E2" s="6">
        <v>1</v>
      </c>
      <c r="F2" s="6">
        <v>2</v>
      </c>
      <c r="G2" s="6">
        <v>3</v>
      </c>
      <c r="H2" s="6">
        <v>4</v>
      </c>
      <c r="I2" s="6">
        <v>5</v>
      </c>
      <c r="J2" s="6">
        <v>6</v>
      </c>
      <c r="K2" s="6">
        <v>7</v>
      </c>
      <c r="L2" s="6">
        <v>8</v>
      </c>
      <c r="M2" s="6">
        <v>9</v>
      </c>
      <c r="N2" s="6">
        <v>10</v>
      </c>
      <c r="O2" s="6" t="s">
        <v>2</v>
      </c>
      <c r="P2" s="4" t="s">
        <v>3</v>
      </c>
    </row>
    <row r="3" spans="1:16" ht="35.1" customHeight="1" x14ac:dyDescent="0.25">
      <c r="A3" s="7">
        <v>1</v>
      </c>
      <c r="B3" s="8" t="s">
        <v>4</v>
      </c>
      <c r="C3" s="7">
        <v>5</v>
      </c>
      <c r="D3" s="7">
        <v>7</v>
      </c>
      <c r="E3" s="7">
        <v>4</v>
      </c>
      <c r="F3" s="7">
        <v>5</v>
      </c>
      <c r="G3" s="7">
        <v>5</v>
      </c>
      <c r="H3" s="7">
        <v>2</v>
      </c>
      <c r="I3" s="7">
        <v>6</v>
      </c>
      <c r="J3" s="7">
        <v>4</v>
      </c>
      <c r="K3" s="7">
        <v>2</v>
      </c>
      <c r="L3" s="7">
        <v>0</v>
      </c>
      <c r="M3" s="7">
        <v>1</v>
      </c>
      <c r="N3" s="7">
        <v>1</v>
      </c>
      <c r="O3" s="7">
        <f t="shared" ref="O3:O11" si="0">SUM(C3:N3)</f>
        <v>42</v>
      </c>
      <c r="P3" s="4">
        <f>COUNTIF($O$3:$O$11,"&gt;"&amp;O3)+COUNTIF($O$3:O3,O3)</f>
        <v>1</v>
      </c>
    </row>
    <row r="4" spans="1:16" ht="35.1" customHeight="1" x14ac:dyDescent="0.25">
      <c r="A4" s="7">
        <v>2</v>
      </c>
      <c r="B4" s="8" t="s">
        <v>5</v>
      </c>
      <c r="C4" s="7">
        <v>3</v>
      </c>
      <c r="D4" s="7">
        <v>2</v>
      </c>
      <c r="E4" s="7">
        <v>4</v>
      </c>
      <c r="F4" s="7">
        <v>5</v>
      </c>
      <c r="G4" s="7">
        <v>1</v>
      </c>
      <c r="H4" s="7">
        <v>2</v>
      </c>
      <c r="I4" s="7">
        <v>2</v>
      </c>
      <c r="J4" s="7">
        <v>2</v>
      </c>
      <c r="K4" s="7">
        <v>0</v>
      </c>
      <c r="L4" s="7">
        <v>3</v>
      </c>
      <c r="M4" s="7">
        <v>10</v>
      </c>
      <c r="N4" s="7">
        <v>3</v>
      </c>
      <c r="O4" s="7">
        <f t="shared" si="0"/>
        <v>37</v>
      </c>
      <c r="P4" s="4">
        <f>COUNTIF($O$3:$O$11,"&gt;"&amp;O4)+COUNTIF($O$3:O4,O4)</f>
        <v>2</v>
      </c>
    </row>
    <row r="5" spans="1:16" ht="35.1" customHeight="1" x14ac:dyDescent="0.25">
      <c r="A5" s="7">
        <v>3</v>
      </c>
      <c r="B5" s="8" t="s">
        <v>6</v>
      </c>
      <c r="C5" s="7">
        <v>3</v>
      </c>
      <c r="D5" s="7">
        <v>2</v>
      </c>
      <c r="E5" s="7">
        <v>5</v>
      </c>
      <c r="F5" s="7">
        <v>5</v>
      </c>
      <c r="G5" s="7">
        <v>1</v>
      </c>
      <c r="H5" s="7">
        <v>2</v>
      </c>
      <c r="I5" s="7">
        <v>6</v>
      </c>
      <c r="J5" s="7">
        <v>2</v>
      </c>
      <c r="K5" s="7">
        <v>1</v>
      </c>
      <c r="L5" s="7">
        <v>3</v>
      </c>
      <c r="M5" s="7">
        <v>0</v>
      </c>
      <c r="N5" s="7">
        <v>0</v>
      </c>
      <c r="O5" s="7">
        <f t="shared" si="0"/>
        <v>30</v>
      </c>
      <c r="P5" s="4">
        <f>COUNTIF($O$3:$O$11,"&gt;"&amp;O5)+COUNTIF($O$3:O5,O5)</f>
        <v>3</v>
      </c>
    </row>
    <row r="6" spans="1:16" ht="35.1" customHeight="1" x14ac:dyDescent="0.25">
      <c r="A6" s="7">
        <v>4</v>
      </c>
      <c r="B6" s="8" t="s">
        <v>7</v>
      </c>
      <c r="C6" s="7">
        <v>1</v>
      </c>
      <c r="D6" s="7">
        <v>0</v>
      </c>
      <c r="E6" s="7">
        <v>1</v>
      </c>
      <c r="F6" s="7">
        <v>5</v>
      </c>
      <c r="G6" s="7">
        <v>6</v>
      </c>
      <c r="H6" s="7">
        <v>2</v>
      </c>
      <c r="I6" s="7">
        <v>2</v>
      </c>
      <c r="J6" s="7">
        <v>5</v>
      </c>
      <c r="K6" s="7">
        <v>2</v>
      </c>
      <c r="L6" s="7">
        <v>3</v>
      </c>
      <c r="M6" s="7">
        <v>1</v>
      </c>
      <c r="N6" s="7">
        <v>0</v>
      </c>
      <c r="O6" s="7">
        <f t="shared" si="0"/>
        <v>28</v>
      </c>
      <c r="P6" s="4">
        <f>COUNTIF($O$3:$O$11,"&gt;"&amp;O6)+COUNTIF($O$3:O6,O6)</f>
        <v>4</v>
      </c>
    </row>
    <row r="7" spans="1:16" ht="35.1" customHeight="1" x14ac:dyDescent="0.25">
      <c r="A7" s="7">
        <v>5</v>
      </c>
      <c r="B7" s="8" t="s">
        <v>8</v>
      </c>
      <c r="C7" s="7">
        <v>3</v>
      </c>
      <c r="D7" s="7">
        <v>2</v>
      </c>
      <c r="E7" s="7">
        <v>0</v>
      </c>
      <c r="F7" s="7">
        <v>2</v>
      </c>
      <c r="G7" s="7">
        <v>1</v>
      </c>
      <c r="H7" s="7">
        <v>2</v>
      </c>
      <c r="I7" s="7">
        <v>2</v>
      </c>
      <c r="J7" s="7">
        <v>5</v>
      </c>
      <c r="K7" s="7">
        <v>0</v>
      </c>
      <c r="L7" s="7">
        <v>1</v>
      </c>
      <c r="M7" s="7">
        <v>9</v>
      </c>
      <c r="N7" s="7">
        <v>1</v>
      </c>
      <c r="O7" s="7">
        <f t="shared" si="0"/>
        <v>28</v>
      </c>
      <c r="P7" s="4">
        <f>COUNTIF($O$3:$O$11,"&gt;"&amp;O7)+COUNTIF($O$3:O7,O7)</f>
        <v>5</v>
      </c>
    </row>
    <row r="8" spans="1:16" ht="35.1" customHeight="1" x14ac:dyDescent="0.25">
      <c r="A8" s="7">
        <v>6</v>
      </c>
      <c r="B8" s="8" t="s">
        <v>9</v>
      </c>
      <c r="C8" s="7">
        <v>4</v>
      </c>
      <c r="D8" s="7">
        <v>3</v>
      </c>
      <c r="E8" s="7">
        <v>3</v>
      </c>
      <c r="F8" s="7">
        <v>5</v>
      </c>
      <c r="G8" s="7">
        <v>0</v>
      </c>
      <c r="H8" s="7">
        <v>2</v>
      </c>
      <c r="I8" s="7">
        <v>6</v>
      </c>
      <c r="J8" s="7">
        <v>2</v>
      </c>
      <c r="K8" s="7">
        <v>1</v>
      </c>
      <c r="L8" s="7">
        <v>0</v>
      </c>
      <c r="M8" s="7">
        <v>1</v>
      </c>
      <c r="N8" s="7">
        <v>0</v>
      </c>
      <c r="O8" s="7">
        <f t="shared" si="0"/>
        <v>27</v>
      </c>
      <c r="P8" s="4">
        <f>COUNTIF($O$3:$O$11,"&gt;"&amp;O8)+COUNTIF($O$3:O8,O8)</f>
        <v>6</v>
      </c>
    </row>
    <row r="9" spans="1:16" ht="35.1" customHeight="1" x14ac:dyDescent="0.25">
      <c r="A9" s="7">
        <v>7</v>
      </c>
      <c r="B9" s="8" t="s">
        <v>10</v>
      </c>
      <c r="C9" s="7">
        <v>0</v>
      </c>
      <c r="D9" s="7">
        <v>0</v>
      </c>
      <c r="E9" s="7">
        <v>1</v>
      </c>
      <c r="F9" s="7">
        <v>1</v>
      </c>
      <c r="G9" s="7">
        <v>2</v>
      </c>
      <c r="H9" s="7">
        <v>2</v>
      </c>
      <c r="I9" s="7">
        <v>3</v>
      </c>
      <c r="J9" s="7">
        <v>2</v>
      </c>
      <c r="K9" s="7">
        <v>0</v>
      </c>
      <c r="L9" s="7">
        <v>0</v>
      </c>
      <c r="M9" s="7">
        <v>1</v>
      </c>
      <c r="N9" s="7">
        <v>0</v>
      </c>
      <c r="O9" s="7">
        <f t="shared" si="0"/>
        <v>12</v>
      </c>
      <c r="P9" s="4">
        <f>COUNTIF($O$3:$O$11,"&gt;"&amp;O9)+COUNTIF($O$3:O9,O9)</f>
        <v>7</v>
      </c>
    </row>
    <row r="10" spans="1:16" ht="35.1" customHeight="1" x14ac:dyDescent="0.25">
      <c r="A10" s="7">
        <v>8</v>
      </c>
      <c r="B10" s="8" t="s">
        <v>11</v>
      </c>
      <c r="C10" s="7">
        <v>2</v>
      </c>
      <c r="D10" s="7">
        <v>0</v>
      </c>
      <c r="E10" s="7">
        <v>1</v>
      </c>
      <c r="F10" s="7">
        <v>0</v>
      </c>
      <c r="G10" s="7">
        <v>2</v>
      </c>
      <c r="H10" s="7">
        <v>0</v>
      </c>
      <c r="I10" s="7">
        <v>0</v>
      </c>
      <c r="J10" s="7">
        <v>6</v>
      </c>
      <c r="K10" s="7">
        <v>0</v>
      </c>
      <c r="L10" s="7">
        <v>0</v>
      </c>
      <c r="M10" s="7">
        <v>0</v>
      </c>
      <c r="N10" s="7">
        <v>0</v>
      </c>
      <c r="O10" s="7">
        <f t="shared" si="0"/>
        <v>11</v>
      </c>
      <c r="P10" s="4">
        <f>COUNTIF($O$3:$O$11,"&gt;"&amp;O10)+COUNTIF($O$3:O10,O10)</f>
        <v>8</v>
      </c>
    </row>
    <row r="11" spans="1:16" ht="35.1" customHeight="1" x14ac:dyDescent="0.25">
      <c r="A11" s="7">
        <v>9</v>
      </c>
      <c r="B11" s="8" t="s">
        <v>12</v>
      </c>
      <c r="C11" s="7">
        <v>0</v>
      </c>
      <c r="D11" s="7">
        <v>0</v>
      </c>
      <c r="E11" s="7">
        <v>0</v>
      </c>
      <c r="F11" s="7">
        <v>5</v>
      </c>
      <c r="G11" s="7">
        <v>0</v>
      </c>
      <c r="H11" s="7">
        <v>2</v>
      </c>
      <c r="I11" s="7">
        <v>0</v>
      </c>
      <c r="J11" s="7">
        <v>2</v>
      </c>
      <c r="K11" s="7">
        <v>0</v>
      </c>
      <c r="L11" s="7">
        <v>0</v>
      </c>
      <c r="M11" s="7">
        <v>1</v>
      </c>
      <c r="N11" s="7">
        <v>0</v>
      </c>
      <c r="O11" s="7">
        <f t="shared" si="0"/>
        <v>10</v>
      </c>
      <c r="P11" s="4">
        <f>COUNTIF($O$3:$O$11,"&gt;"&amp;O11)+COUNTIF($O$3:O11,O11)</f>
        <v>9</v>
      </c>
    </row>
  </sheetData>
  <conditionalFormatting sqref="C3:N11">
    <cfRule type="expression" dxfId="5" priority="1" stopIfTrue="1">
      <formula>AND(C3&gt;0,C3=MAX(C$3:C$11))</formula>
    </cfRule>
  </conditionalFormatting>
  <conditionalFormatting sqref="A3:O11">
    <cfRule type="expression" dxfId="4" priority="2">
      <formula>AND(OR(COLUMN()&lt;=2,COLUMN()=15),$P3&lt;=3)</formula>
    </cfRule>
    <cfRule type="expression" dxfId="3" priority="3">
      <formula>AND(OR(COLUMN()&lt;=2,COLUMN()=15),$P3&gt;=4,$P3&lt;=6)</formula>
    </cfRule>
  </conditionalFormatting>
  <pageMargins left="0.7" right="0.7" top="0.75" bottom="0.75" header="0.3" footer="0.3"/>
  <pageSetup paperSize="9" scale="6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6" customWidth="1"/>
    <col min="2" max="2" width="24" customWidth="1"/>
    <col min="3" max="15" width="13" customWidth="1"/>
  </cols>
  <sheetData>
    <row r="2" spans="1:15" x14ac:dyDescent="0.25">
      <c r="C2" s="1" t="str">
        <f>Лист1!C2</f>
        <v>1-nazariy</v>
      </c>
      <c r="D2" s="1" t="str">
        <f>Лист1!D2</f>
        <v>2-nazariy</v>
      </c>
      <c r="E2" s="1">
        <f>Лист1!E2</f>
        <v>1</v>
      </c>
      <c r="F2" s="1">
        <f>Лист1!F2</f>
        <v>2</v>
      </c>
      <c r="G2" s="1">
        <f>Лист1!G2</f>
        <v>3</v>
      </c>
      <c r="H2" s="1">
        <f>Лист1!H2</f>
        <v>4</v>
      </c>
      <c r="I2" s="1">
        <f>Лист1!I2</f>
        <v>5</v>
      </c>
      <c r="J2" s="1">
        <f>Лист1!J2</f>
        <v>6</v>
      </c>
      <c r="K2" s="1">
        <f>Лист1!K2</f>
        <v>7</v>
      </c>
      <c r="L2" s="1">
        <f>Лист1!L2</f>
        <v>8</v>
      </c>
      <c r="M2" s="1">
        <f>Лист1!M2</f>
        <v>9</v>
      </c>
      <c r="N2" s="1">
        <f>Лист1!N2</f>
        <v>10</v>
      </c>
      <c r="O2" s="1" t="str">
        <f>Лист1!O2</f>
        <v>Umumiy ball</v>
      </c>
    </row>
    <row r="3" spans="1:15" x14ac:dyDescent="0.25">
      <c r="A3" s="2">
        <v>1</v>
      </c>
      <c r="B3" s="3" t="str">
        <f>INDEX(Лист1!B$3:B$11,MATCH($A3,Лист1!$P$3:$P$11,0))</f>
        <v>Keldiyev Fayozbek</v>
      </c>
      <c r="C3" s="2">
        <f>INDEX(Лист1!C$3:C$11,MATCH($A3,Лист1!$P$3:$P$11,0))</f>
        <v>5</v>
      </c>
      <c r="D3" s="2">
        <f>INDEX(Лист1!D$3:D$11,MATCH($A3,Лист1!$P$3:$P$11,0))</f>
        <v>7</v>
      </c>
      <c r="E3" s="2">
        <f>INDEX(Лист1!E$3:E$11,MATCH($A3,Лист1!$P$3:$P$11,0))</f>
        <v>4</v>
      </c>
      <c r="F3" s="2">
        <f>INDEX(Лист1!F$3:F$11,MATCH($A3,Лист1!$P$3:$P$11,0))</f>
        <v>5</v>
      </c>
      <c r="G3" s="2">
        <f>INDEX(Лист1!G$3:G$11,MATCH($A3,Лист1!$P$3:$P$11,0))</f>
        <v>5</v>
      </c>
      <c r="H3" s="2">
        <f>INDEX(Лист1!H$3:H$11,MATCH($A3,Лист1!$P$3:$P$11,0))</f>
        <v>2</v>
      </c>
      <c r="I3" s="2">
        <f>INDEX(Лист1!I$3:I$11,MATCH($A3,Лист1!$P$3:$P$11,0))</f>
        <v>6</v>
      </c>
      <c r="J3" s="2">
        <f>INDEX(Лист1!J$3:J$11,MATCH($A3,Лист1!$P$3:$P$11,0))</f>
        <v>4</v>
      </c>
      <c r="K3" s="2">
        <f>INDEX(Лист1!K$3:K$11,MATCH($A3,Лист1!$P$3:$P$11,0))</f>
        <v>2</v>
      </c>
      <c r="L3" s="2">
        <f>INDEX(Лист1!L$3:L$11,MATCH($A3,Лист1!$P$3:$P$11,0))</f>
        <v>0</v>
      </c>
      <c r="M3" s="2">
        <f>INDEX(Лист1!M$3:M$11,MATCH($A3,Лист1!$P$3:$P$11,0))</f>
        <v>1</v>
      </c>
      <c r="N3" s="2">
        <f>INDEX(Лист1!N$3:N$11,MATCH($A3,Лист1!$P$3:$P$11,0))</f>
        <v>1</v>
      </c>
      <c r="O3" s="2">
        <f>INDEX(Лист1!O$3:O$11,MATCH($A3,Лист1!$P$3:$P$11,0))</f>
        <v>42</v>
      </c>
    </row>
    <row r="4" spans="1:15" x14ac:dyDescent="0.25">
      <c r="A4" s="2">
        <v>2</v>
      </c>
      <c r="B4" s="3" t="str">
        <f>INDEX(Лист1!B$3:B$11,MATCH($A4,Лист1!$P$3:$P$11,0))</f>
        <v>Azizov Diyorbek</v>
      </c>
      <c r="C4" s="2">
        <f>INDEX(Лист1!C$3:C$11,MATCH($A4,Лист1!$P$3:$P$11,0))</f>
        <v>3</v>
      </c>
      <c r="D4" s="2">
        <f>INDEX(Лист1!D$3:D$11,MATCH($A4,Лист1!$P$3:$P$11,0))</f>
        <v>2</v>
      </c>
      <c r="E4" s="2">
        <f>INDEX(Лист1!E$3:E$11,MATCH($A4,Лист1!$P$3:$P$11,0))</f>
        <v>4</v>
      </c>
      <c r="F4" s="2">
        <f>INDEX(Лист1!F$3:F$11,MATCH($A4,Лист1!$P$3:$P$11,0))</f>
        <v>5</v>
      </c>
      <c r="G4" s="2">
        <f>INDEX(Лист1!G$3:G$11,MATCH($A4,Лист1!$P$3:$P$11,0))</f>
        <v>1</v>
      </c>
      <c r="H4" s="2">
        <f>INDEX(Лист1!H$3:H$11,MATCH($A4,Лист1!$P$3:$P$11,0))</f>
        <v>2</v>
      </c>
      <c r="I4" s="2">
        <f>INDEX(Лист1!I$3:I$11,MATCH($A4,Лист1!$P$3:$P$11,0))</f>
        <v>2</v>
      </c>
      <c r="J4" s="2">
        <f>INDEX(Лист1!J$3:J$11,MATCH($A4,Лист1!$P$3:$P$11,0))</f>
        <v>2</v>
      </c>
      <c r="K4" s="2">
        <f>INDEX(Лист1!K$3:K$11,MATCH($A4,Лист1!$P$3:$P$11,0))</f>
        <v>0</v>
      </c>
      <c r="L4" s="2">
        <f>INDEX(Лист1!L$3:L$11,MATCH($A4,Лист1!$P$3:$P$11,0))</f>
        <v>3</v>
      </c>
      <c r="M4" s="2">
        <f>INDEX(Лист1!M$3:M$11,MATCH($A4,Лист1!$P$3:$P$11,0))</f>
        <v>10</v>
      </c>
      <c r="N4" s="2">
        <f>INDEX(Лист1!N$3:N$11,MATCH($A4,Лист1!$P$3:$P$11,0))</f>
        <v>3</v>
      </c>
      <c r="O4" s="2">
        <f>INDEX(Лист1!O$3:O$11,MATCH($A4,Лист1!$P$3:$P$11,0))</f>
        <v>37</v>
      </c>
    </row>
    <row r="5" spans="1:15" x14ac:dyDescent="0.25">
      <c r="A5" s="2">
        <v>3</v>
      </c>
      <c r="B5" s="3" t="str">
        <f>INDEX(Лист1!B$3:B$11,MATCH($A5,Лист1!$P$3:$P$11,0))</f>
        <v>Joldasbaev Shaxrux</v>
      </c>
      <c r="C5" s="2">
        <f>INDEX(Лист1!C$3:C$11,MATCH($A5,Лист1!$P$3:$P$11,0))</f>
        <v>3</v>
      </c>
      <c r="D5" s="2">
        <f>INDEX(Лист1!D$3:D$11,MATCH($A5,Лист1!$P$3:$P$11,0))</f>
        <v>2</v>
      </c>
      <c r="E5" s="2">
        <f>INDEX(Лист1!E$3:E$11,MATCH($A5,Лист1!$P$3:$P$11,0))</f>
        <v>5</v>
      </c>
      <c r="F5" s="2">
        <f>INDEX(Лист1!F$3:F$11,MATCH($A5,Лист1!$P$3:$P$11,0))</f>
        <v>5</v>
      </c>
      <c r="G5" s="2">
        <f>INDEX(Лист1!G$3:G$11,MATCH($A5,Лист1!$P$3:$P$11,0))</f>
        <v>1</v>
      </c>
      <c r="H5" s="2">
        <f>INDEX(Лист1!H$3:H$11,MATCH($A5,Лист1!$P$3:$P$11,0))</f>
        <v>2</v>
      </c>
      <c r="I5" s="2">
        <f>INDEX(Лист1!I$3:I$11,MATCH($A5,Лист1!$P$3:$P$11,0))</f>
        <v>6</v>
      </c>
      <c r="J5" s="2">
        <f>INDEX(Лист1!J$3:J$11,MATCH($A5,Лист1!$P$3:$P$11,0))</f>
        <v>2</v>
      </c>
      <c r="K5" s="2">
        <f>INDEX(Лист1!K$3:K$11,MATCH($A5,Лист1!$P$3:$P$11,0))</f>
        <v>1</v>
      </c>
      <c r="L5" s="2">
        <f>INDEX(Лист1!L$3:L$11,MATCH($A5,Лист1!$P$3:$P$11,0))</f>
        <v>3</v>
      </c>
      <c r="M5" s="2">
        <f>INDEX(Лист1!M$3:M$11,MATCH($A5,Лист1!$P$3:$P$11,0))</f>
        <v>0</v>
      </c>
      <c r="N5" s="2">
        <f>INDEX(Лист1!N$3:N$11,MATCH($A5,Лист1!$P$3:$P$11,0))</f>
        <v>0</v>
      </c>
      <c r="O5" s="2">
        <f>INDEX(Лист1!O$3:O$11,MATCH($A5,Лист1!$P$3:$P$11,0))</f>
        <v>30</v>
      </c>
    </row>
    <row r="6" spans="1:15" x14ac:dyDescent="0.25">
      <c r="A6" s="2">
        <v>4</v>
      </c>
      <c r="B6" s="3" t="str">
        <f>INDEX(Лист1!B$3:B$11,MATCH($A6,Лист1!$P$3:$P$11,0))</f>
        <v>Eshbaev Miyirbek</v>
      </c>
      <c r="C6" s="2">
        <f>INDEX(Лист1!C$3:C$11,MATCH($A6,Лист1!$P$3:$P$11,0))</f>
        <v>1</v>
      </c>
      <c r="D6" s="2">
        <f>INDEX(Лист1!D$3:D$11,MATCH($A6,Лист1!$P$3:$P$11,0))</f>
        <v>0</v>
      </c>
      <c r="E6" s="2">
        <f>INDEX(Лист1!E$3:E$11,MATCH($A6,Лист1!$P$3:$P$11,0))</f>
        <v>1</v>
      </c>
      <c r="F6" s="2">
        <f>INDEX(Лист1!F$3:F$11,MATCH($A6,Лист1!$P$3:$P$11,0))</f>
        <v>5</v>
      </c>
      <c r="G6" s="2">
        <f>INDEX(Лист1!G$3:G$11,MATCH($A6,Лист1!$P$3:$P$11,0))</f>
        <v>6</v>
      </c>
      <c r="H6" s="2">
        <f>INDEX(Лист1!H$3:H$11,MATCH($A6,Лист1!$P$3:$P$11,0))</f>
        <v>2</v>
      </c>
      <c r="I6" s="2">
        <f>INDEX(Лист1!I$3:I$11,MATCH($A6,Лист1!$P$3:$P$11,0))</f>
        <v>2</v>
      </c>
      <c r="J6" s="2">
        <f>INDEX(Лист1!J$3:J$11,MATCH($A6,Лист1!$P$3:$P$11,0))</f>
        <v>5</v>
      </c>
      <c r="K6" s="2">
        <f>INDEX(Лист1!K$3:K$11,MATCH($A6,Лист1!$P$3:$P$11,0))</f>
        <v>2</v>
      </c>
      <c r="L6" s="2">
        <f>INDEX(Лист1!L$3:L$11,MATCH($A6,Лист1!$P$3:$P$11,0))</f>
        <v>3</v>
      </c>
      <c r="M6" s="2">
        <f>INDEX(Лист1!M$3:M$11,MATCH($A6,Лист1!$P$3:$P$11,0))</f>
        <v>1</v>
      </c>
      <c r="N6" s="2">
        <f>INDEX(Лист1!N$3:N$11,MATCH($A6,Лист1!$P$3:$P$11,0))</f>
        <v>0</v>
      </c>
      <c r="O6" s="2">
        <f>INDEX(Лист1!O$3:O$11,MATCH($A6,Лист1!$P$3:$P$11,0))</f>
        <v>28</v>
      </c>
    </row>
    <row r="7" spans="1:15" x14ac:dyDescent="0.25">
      <c r="A7" s="2">
        <v>5</v>
      </c>
      <c r="B7" s="3" t="str">
        <f>INDEX(Лист1!B$3:B$11,MATCH($A7,Лист1!$P$3:$P$11,0))</f>
        <v>Pardayev Maxsudbek</v>
      </c>
      <c r="C7" s="2">
        <f>INDEX(Лист1!C$3:C$11,MATCH($A7,Лист1!$P$3:$P$11,0))</f>
        <v>3</v>
      </c>
      <c r="D7" s="2">
        <f>INDEX(Лист1!D$3:D$11,MATCH($A7,Лист1!$P$3:$P$11,0))</f>
        <v>2</v>
      </c>
      <c r="E7" s="2">
        <f>INDEX(Лист1!E$3:E$11,MATCH($A7,Лист1!$P$3:$P$11,0))</f>
        <v>0</v>
      </c>
      <c r="F7" s="2">
        <f>INDEX(Лист1!F$3:F$11,MATCH($A7,Лист1!$P$3:$P$11,0))</f>
        <v>2</v>
      </c>
      <c r="G7" s="2">
        <f>INDEX(Лист1!G$3:G$11,MATCH($A7,Лист1!$P$3:$P$11,0))</f>
        <v>1</v>
      </c>
      <c r="H7" s="2">
        <f>INDEX(Лист1!H$3:H$11,MATCH($A7,Лист1!$P$3:$P$11,0))</f>
        <v>2</v>
      </c>
      <c r="I7" s="2">
        <f>INDEX(Лист1!I$3:I$11,MATCH($A7,Лист1!$P$3:$P$11,0))</f>
        <v>2</v>
      </c>
      <c r="J7" s="2">
        <f>INDEX(Лист1!J$3:J$11,MATCH($A7,Лист1!$P$3:$P$11,0))</f>
        <v>5</v>
      </c>
      <c r="K7" s="2">
        <f>INDEX(Лист1!K$3:K$11,MATCH($A7,Лист1!$P$3:$P$11,0))</f>
        <v>0</v>
      </c>
      <c r="L7" s="2">
        <f>INDEX(Лист1!L$3:L$11,MATCH($A7,Лист1!$P$3:$P$11,0))</f>
        <v>1</v>
      </c>
      <c r="M7" s="2">
        <f>INDEX(Лист1!M$3:M$11,MATCH($A7,Лист1!$P$3:$P$11,0))</f>
        <v>9</v>
      </c>
      <c r="N7" s="2">
        <f>INDEX(Лист1!N$3:N$11,MATCH($A7,Лист1!$P$3:$P$11,0))</f>
        <v>1</v>
      </c>
      <c r="O7" s="2">
        <f>INDEX(Лист1!O$3:O$11,MATCH($A7,Лист1!$P$3:$P$11,0))</f>
        <v>28</v>
      </c>
    </row>
    <row r="8" spans="1:15" x14ac:dyDescent="0.25">
      <c r="A8" s="2">
        <v>6</v>
      </c>
      <c r="B8" s="3" t="str">
        <f>INDEX(Лист1!B$3:B$11,MATCH($A8,Лист1!$P$3:$P$11,0))</f>
        <v>Olimboyev Mirjalol</v>
      </c>
      <c r="C8" s="2">
        <f>INDEX(Лист1!C$3:C$11,MATCH($A8,Лист1!$P$3:$P$11,0))</f>
        <v>4</v>
      </c>
      <c r="D8" s="2">
        <f>INDEX(Лист1!D$3:D$11,MATCH($A8,Лист1!$P$3:$P$11,0))</f>
        <v>3</v>
      </c>
      <c r="E8" s="2">
        <f>INDEX(Лист1!E$3:E$11,MATCH($A8,Лист1!$P$3:$P$11,0))</f>
        <v>3</v>
      </c>
      <c r="F8" s="2">
        <f>INDEX(Лист1!F$3:F$11,MATCH($A8,Лист1!$P$3:$P$11,0))</f>
        <v>5</v>
      </c>
      <c r="G8" s="2">
        <f>INDEX(Лист1!G$3:G$11,MATCH($A8,Лист1!$P$3:$P$11,0))</f>
        <v>0</v>
      </c>
      <c r="H8" s="2">
        <f>INDEX(Лист1!H$3:H$11,MATCH($A8,Лист1!$P$3:$P$11,0))</f>
        <v>2</v>
      </c>
      <c r="I8" s="2">
        <f>INDEX(Лист1!I$3:I$11,MATCH($A8,Лист1!$P$3:$P$11,0))</f>
        <v>6</v>
      </c>
      <c r="J8" s="2">
        <f>INDEX(Лист1!J$3:J$11,MATCH($A8,Лист1!$P$3:$P$11,0))</f>
        <v>2</v>
      </c>
      <c r="K8" s="2">
        <f>INDEX(Лист1!K$3:K$11,MATCH($A8,Лист1!$P$3:$P$11,0))</f>
        <v>1</v>
      </c>
      <c r="L8" s="2">
        <f>INDEX(Лист1!L$3:L$11,MATCH($A8,Лист1!$P$3:$P$11,0))</f>
        <v>0</v>
      </c>
      <c r="M8" s="2">
        <f>INDEX(Лист1!M$3:M$11,MATCH($A8,Лист1!$P$3:$P$11,0))</f>
        <v>1</v>
      </c>
      <c r="N8" s="2">
        <f>INDEX(Лист1!N$3:N$11,MATCH($A8,Лист1!$P$3:$P$11,0))</f>
        <v>0</v>
      </c>
      <c r="O8" s="2">
        <f>INDEX(Лист1!O$3:O$11,MATCH($A8,Лист1!$P$3:$P$11,0))</f>
        <v>27</v>
      </c>
    </row>
    <row r="9" spans="1:15" x14ac:dyDescent="0.25">
      <c r="A9" s="2">
        <v>7</v>
      </c>
      <c r="B9" s="3" t="str">
        <f>INDEX(Лист1!B$3:B$11,MATCH($A9,Лист1!$P$3:$P$11,0))</f>
        <v>Bo'riyev Mirzoxid</v>
      </c>
      <c r="C9" s="2">
        <f>INDEX(Лист1!C$3:C$11,MATCH($A9,Лист1!$P$3:$P$11,0))</f>
        <v>0</v>
      </c>
      <c r="D9" s="2">
        <f>INDEX(Лист1!D$3:D$11,MATCH($A9,Лист1!$P$3:$P$11,0))</f>
        <v>0</v>
      </c>
      <c r="E9" s="2">
        <f>INDEX(Лист1!E$3:E$11,MATCH($A9,Лист1!$P$3:$P$11,0))</f>
        <v>1</v>
      </c>
      <c r="F9" s="2">
        <f>INDEX(Лист1!F$3:F$11,MATCH($A9,Лист1!$P$3:$P$11,0))</f>
        <v>1</v>
      </c>
      <c r="G9" s="2">
        <f>INDEX(Лист1!G$3:G$11,MATCH($A9,Лист1!$P$3:$P$11,0))</f>
        <v>2</v>
      </c>
      <c r="H9" s="2">
        <f>INDEX(Лист1!H$3:H$11,MATCH($A9,Лист1!$P$3:$P$11,0))</f>
        <v>2</v>
      </c>
      <c r="I9" s="2">
        <f>INDEX(Лист1!I$3:I$11,MATCH($A9,Лист1!$P$3:$P$11,0))</f>
        <v>3</v>
      </c>
      <c r="J9" s="2">
        <f>INDEX(Лист1!J$3:J$11,MATCH($A9,Лист1!$P$3:$P$11,0))</f>
        <v>2</v>
      </c>
      <c r="K9" s="2">
        <f>INDEX(Лист1!K$3:K$11,MATCH($A9,Лист1!$P$3:$P$11,0))</f>
        <v>0</v>
      </c>
      <c r="L9" s="2">
        <f>INDEX(Лист1!L$3:L$11,MATCH($A9,Лист1!$P$3:$P$11,0))</f>
        <v>0</v>
      </c>
      <c r="M9" s="2">
        <f>INDEX(Лист1!M$3:M$11,MATCH($A9,Лист1!$P$3:$P$11,0))</f>
        <v>1</v>
      </c>
      <c r="N9" s="2">
        <f>INDEX(Лист1!N$3:N$11,MATCH($A9,Лист1!$P$3:$P$11,0))</f>
        <v>0</v>
      </c>
      <c r="O9" s="2">
        <f>INDEX(Лист1!O$3:O$11,MATCH($A9,Лист1!$P$3:$P$11,0))</f>
        <v>12</v>
      </c>
    </row>
    <row r="10" spans="1:15" x14ac:dyDescent="0.25">
      <c r="A10" s="2">
        <v>8</v>
      </c>
      <c r="B10" s="3" t="str">
        <f>INDEX(Лист1!B$3:B$11,MATCH($A10,Лист1!$P$3:$P$11,0))</f>
        <v>Ismatov Dilshodbek</v>
      </c>
      <c r="C10" s="2">
        <f>INDEX(Лист1!C$3:C$11,MATCH($A10,Лист1!$P$3:$P$11,0))</f>
        <v>2</v>
      </c>
      <c r="D10" s="2">
        <f>INDEX(Лист1!D$3:D$11,MATCH($A10,Лист1!$P$3:$P$11,0))</f>
        <v>0</v>
      </c>
      <c r="E10" s="2">
        <f>INDEX(Лист1!E$3:E$11,MATCH($A10,Лист1!$P$3:$P$11,0))</f>
        <v>1</v>
      </c>
      <c r="F10" s="2">
        <f>INDEX(Лист1!F$3:F$11,MATCH($A10,Лист1!$P$3:$P$11,0))</f>
        <v>0</v>
      </c>
      <c r="G10" s="2">
        <f>INDEX(Лист1!G$3:G$11,MATCH($A10,Лист1!$P$3:$P$11,0))</f>
        <v>2</v>
      </c>
      <c r="H10" s="2">
        <f>INDEX(Лист1!H$3:H$11,MATCH($A10,Лист1!$P$3:$P$11,0))</f>
        <v>0</v>
      </c>
      <c r="I10" s="2">
        <f>INDEX(Лист1!I$3:I$11,MATCH($A10,Лист1!$P$3:$P$11,0))</f>
        <v>0</v>
      </c>
      <c r="J10" s="2">
        <f>INDEX(Лист1!J$3:J$11,MATCH($A10,Лист1!$P$3:$P$11,0))</f>
        <v>6</v>
      </c>
      <c r="K10" s="2">
        <f>INDEX(Лист1!K$3:K$11,MATCH($A10,Лист1!$P$3:$P$11,0))</f>
        <v>0</v>
      </c>
      <c r="L10" s="2">
        <f>INDEX(Лист1!L$3:L$11,MATCH($A10,Лист1!$P$3:$P$11,0))</f>
        <v>0</v>
      </c>
      <c r="M10" s="2">
        <f>INDEX(Лист1!M$3:M$11,MATCH($A10,Лист1!$P$3:$P$11,0))</f>
        <v>0</v>
      </c>
      <c r="N10" s="2">
        <f>INDEX(Лист1!N$3:N$11,MATCH($A10,Лист1!$P$3:$P$11,0))</f>
        <v>0</v>
      </c>
      <c r="O10" s="2">
        <f>INDEX(Лист1!O$3:O$11,MATCH($A10,Лист1!$P$3:$P$11,0))</f>
        <v>11</v>
      </c>
    </row>
    <row r="11" spans="1:15" x14ac:dyDescent="0.25">
      <c r="A11" s="2">
        <v>9</v>
      </c>
      <c r="B11" s="3" t="str">
        <f>INDEX(Лист1!B$3:B$11,MATCH($A11,Лист1!$P$3:$P$11,0))</f>
        <v>Bo'riqulov Botir</v>
      </c>
      <c r="C11" s="2">
        <f>INDEX(Лист1!C$3:C$11,MATCH($A11,Лист1!$P$3:$P$11,0))</f>
        <v>0</v>
      </c>
      <c r="D11" s="2">
        <f>INDEX(Лист1!D$3:D$11,MATCH($A11,Лист1!$P$3:$P$11,0))</f>
        <v>0</v>
      </c>
      <c r="E11" s="2">
        <f>INDEX(Лист1!E$3:E$11,MATCH($A11,Лист1!$P$3:$P$11,0))</f>
        <v>0</v>
      </c>
      <c r="F11" s="2">
        <f>INDEX(Лист1!F$3:F$11,MATCH($A11,Лист1!$P$3:$P$11,0))</f>
        <v>5</v>
      </c>
      <c r="G11" s="2">
        <f>INDEX(Лист1!G$3:G$11,MATCH($A11,Лист1!$P$3:$P$11,0))</f>
        <v>0</v>
      </c>
      <c r="H11" s="2">
        <f>INDEX(Лист1!H$3:H$11,MATCH($A11,Лист1!$P$3:$P$11,0))</f>
        <v>2</v>
      </c>
      <c r="I11" s="2">
        <f>INDEX(Лист1!I$3:I$11,MATCH($A11,Лист1!$P$3:$P$11,0))</f>
        <v>0</v>
      </c>
      <c r="J11" s="2">
        <f>INDEX(Лист1!J$3:J$11,MATCH($A11,Лист1!$P$3:$P$11,0))</f>
        <v>2</v>
      </c>
      <c r="K11" s="2">
        <f>INDEX(Лист1!K$3:K$11,MATCH($A11,Лист1!$P$3:$P$11,0))</f>
        <v>0</v>
      </c>
      <c r="L11" s="2">
        <f>INDEX(Лист1!L$3:L$11,MATCH($A11,Лист1!$P$3:$P$11,0))</f>
        <v>0</v>
      </c>
      <c r="M11" s="2">
        <f>INDEX(Лист1!M$3:M$11,MATCH($A11,Лист1!$P$3:$P$11,0))</f>
        <v>1</v>
      </c>
      <c r="N11" s="2">
        <f>INDEX(Лист1!N$3:N$11,MATCH($A11,Лист1!$P$3:$P$11,0))</f>
        <v>0</v>
      </c>
      <c r="O11" s="2">
        <f>INDEX(Лист1!O$3:O$11,MATCH($A11,Лист1!$P$3:$P$11,0))</f>
        <v>10</v>
      </c>
    </row>
  </sheetData>
  <conditionalFormatting sqref="C3:N11">
    <cfRule type="expression" dxfId="2" priority="1" stopIfTrue="1">
      <formula>AND(C3&gt;0,C3=MAX(C$3:C$11))</formula>
    </cfRule>
  </conditionalFormatting>
  <conditionalFormatting sqref="A3:O11">
    <cfRule type="expression" dxfId="1" priority="2">
      <formula>AND(OR(COLUMN()&lt;=2,COLUMN()=15),$A3&lt;=3)</formula>
    </cfRule>
    <cfRule type="expression" dxfId="0" priority="3">
      <formula>AND(OR(COLUMN()&lt;=2,COLUMN()=15),$A3&gt;=4,$A3&lt;=6)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Reyting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Isakov Muxriddin</dc:creator>
  <cp:lastModifiedBy>Isakov Muxriddin</cp:lastModifiedBy>
  <cp:lastPrinted>2026-10-10T19:12:27Z</cp:lastPrinted>
  <dcterms:created xsi:type="dcterms:W3CDTF">2015-06-05T18:19:34Z</dcterms:created>
  <dcterms:modified xsi:type="dcterms:W3CDTF">2026-10-10T19:13:46Z</dcterms:modified>
</cp:coreProperties>
</file>